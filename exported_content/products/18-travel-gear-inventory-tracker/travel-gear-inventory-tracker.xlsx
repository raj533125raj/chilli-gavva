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Gear List" sheetId="3" r:id="rId3"/>
    <sheet name="Travel Log" sheetId="4" r:id="rId4"/>
    <sheet name="Purchase Ledger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Travel Gear Inventory Tracker – Google Sheets Template for Frequent Travelers</t>
        </is>
      </c>
    </row>
    <row r="2"/>
    <row r="3">
      <c r="A3" s="4" t="inlineStr">
        <is>
          <t xml:space="preserve">1. Open the file in Google Sheets (or import to Excel) and click **File → Make a copy** to own your version.</t>
        </is>
      </c>
    </row>
    <row r="4">
      <c r="A4" s="4" t="inlineStr">
        <is>
          <t xml:space="preserve">2. Add each piece of equipment to the **Gear List** tab, filling cost, purchase date, and replacement cycle.</t>
        </is>
      </c>
    </row>
    <row r="5">
      <c r="A5" s="4" t="inlineStr">
        <is>
          <t xml:space="preserve">3. Record each trip in the **Travel Log**, selecting the gear you took on that trip.</t>
        </is>
      </c>
    </row>
    <row r="6">
      <c r="A6" s="4" t="inlineStr">
        <is>
          <t xml:space="preserve">4. Check the **Summary Dashboard** to see upcoming replacement dates and total travel spend; export the dashboard as PDF if you need a printable report.</t>
        </is>
      </c>
    </row>
    <row r="7"/>
    <row r="8">
      <c r="A8" s="4" t="inlineStr">
        <is>
          <t xml:space="preserve">Works in Microsoft Excel, Google Sheets (File &gt; Import) and Apple Numbers.</t>
        </is>
      </c>
    </row>
    <row r="9"/>
    <row r="10">
      <c r="A10" s="4" t="inlineStr">
        <is>
          <t xml:space="preserve">Blue header rows stay visible while you scroll. Totals sit under each table.</t>
        </is>
      </c>
    </row>
    <row r="11">
      <c r="A11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Gear List: Cost</t>
        </is>
      </c>
      <c r="B2" s="2">
        <f>'Gear List'!C6</f>
      </c>
    </row>
    <row r="3">
      <c r="A3" t="inlineStr">
        <is>
          <t xml:space="preserve">Gear List: Replacement Cycle</t>
        </is>
      </c>
      <c r="B3">
        <f>'Gear List'!E6</f>
      </c>
    </row>
    <row r="4">
      <c r="A4" t="inlineStr">
        <is>
          <t xml:space="preserve">Gear List: Overdue rows</t>
        </is>
      </c>
      <c r="B4">
        <f>'Gear List'!B7</f>
      </c>
    </row>
    <row r="5">
      <c r="A5" t="inlineStr">
        <is>
          <t xml:space="preserve">Purchase Ledger: Amount</t>
        </is>
      </c>
      <c r="B5" s="2">
        <f>'Purchase Ledger'!C6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4" customWidth="1"/>
    <col min="3" max="3" width="12" customWidth="1"/>
    <col min="4" max="4" width="19" customWidth="1"/>
    <col min="5" max="5" width="23" customWidth="1"/>
    <col min="6" max="6" width="27" customWidth="1"/>
    <col min="7" max="7" width="12" customWidth="1"/>
    <col min="8" max="8" width="14" customWidth="1"/>
  </cols>
  <sheetData>
    <row r="1">
      <c r="A1" s="1" t="inlineStr">
        <is>
          <t xml:space="preserve">Item Name</t>
        </is>
      </c>
      <c r="B1" s="1" t="inlineStr">
        <is>
          <t xml:space="preserve">Category</t>
        </is>
      </c>
      <c r="C1" s="1" t="inlineStr">
        <is>
          <t xml:space="preserve">Cost</t>
        </is>
      </c>
      <c r="D1" s="1" t="inlineStr">
        <is>
          <t xml:space="preserve">Purchase Date</t>
        </is>
      </c>
      <c r="E1" s="1" t="inlineStr">
        <is>
          <t xml:space="preserve">Replacement Cycle</t>
        </is>
      </c>
      <c r="F1" s="1" t="inlineStr">
        <is>
          <t xml:space="preserve">Next Replacement Date</t>
        </is>
      </c>
      <c r="G1" s="1" t="inlineStr">
        <is>
          <t xml:space="preserve">Status</t>
        </is>
      </c>
      <c r="H1" s="1" t="inlineStr">
        <is>
          <t xml:space="preserve">Overdue?</t>
        </is>
      </c>
    </row>
    <row r="2">
      <c r="A2" t="inlineStr">
        <is>
          <t xml:space="preserve">Travel Backpack</t>
        </is>
      </c>
      <c r="B2" t="inlineStr">
        <is>
          <t xml:space="preserve">Backpack</t>
        </is>
      </c>
      <c r="C2" s="2">
        <v>120.0</v>
      </c>
      <c r="D2" s="3">
        <v>45026</v>
      </c>
      <c r="E2">
        <v>24.0</v>
      </c>
      <c r="F2" s="3">
        <v>45757</v>
      </c>
      <c r="G2" t="inlineStr">
        <is>
          <t xml:space="preserve">Active</t>
        </is>
      </c>
      <c r="H2">
        <f>IF(AND(ISNUMBER(F2),G2&lt;&gt;"Active",F2&lt;TODAY()),"OVERDUE","")</f>
      </c>
    </row>
    <row r="3">
      <c r="A3" t="inlineStr">
        <is>
          <t xml:space="preserve">Mirrorless Camera</t>
        </is>
      </c>
      <c r="B3" t="inlineStr">
        <is>
          <t xml:space="preserve">Camera</t>
        </is>
      </c>
      <c r="C3" s="2">
        <v>800.0</v>
      </c>
      <c r="D3" s="3">
        <v>44576</v>
      </c>
      <c r="E3">
        <v>36.0</v>
      </c>
      <c r="F3" s="3">
        <v>45672</v>
      </c>
      <c r="G3" t="inlineStr">
        <is>
          <t xml:space="preserve">Active</t>
        </is>
      </c>
      <c r="H3">
        <f>IF(AND(ISNUMBER(F3),G3&lt;&gt;"Active",F3&lt;TODAY()),"OVERDUE","")</f>
      </c>
    </row>
    <row r="4">
      <c r="A4" t="inlineStr">
        <is>
          <t xml:space="preserve">Laptop</t>
        </is>
      </c>
      <c r="B4" t="inlineStr">
        <is>
          <t xml:space="preserve">Electronics</t>
        </is>
      </c>
      <c r="C4" s="2">
        <v>1500.0</v>
      </c>
      <c r="D4" s="3">
        <v>44348</v>
      </c>
      <c r="E4">
        <v>48.0</v>
      </c>
      <c r="F4" s="3">
        <v>45809</v>
      </c>
      <c r="G4" t="inlineStr">
        <is>
          <t xml:space="preserve">Needs Replacement</t>
        </is>
      </c>
      <c r="H4">
        <f>IF(AND(ISNUMBER(F4),G4&lt;&gt;"Active",F4&lt;TODAY()),"OVERDUE","")</f>
      </c>
    </row>
    <row r="6">
      <c r="A6" s="6" t="inlineStr">
        <is>
          <t xml:space="preserve">TOTAL</t>
        </is>
      </c>
      <c r="C6" s="7">
        <f>SUM(C2:C4)</f>
      </c>
      <c r="E6" s="8">
        <f>SUM(E2:E4)</f>
      </c>
    </row>
    <row r="7">
      <c r="A7" s="6" t="inlineStr">
        <is>
          <t xml:space="preserve">Overdue rows</t>
        </is>
      </c>
      <c r="B7" s="6">
        <f>COUNTIF(H2:H4,"OVERDUE")</f>
      </c>
    </row>
  </sheetData>
  <dataValidations count="1">
    <dataValidation type="list" allowBlank="1" showErrorMessage="1" sqref="G2:G204">
      <formula1>"Active,Needs Replacement"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6" customWidth="1"/>
    <col min="3" max="3" width="14" customWidth="1"/>
    <col min="4" max="4" width="15" customWidth="1"/>
    <col min="5" max="5" width="12" customWidth="1"/>
  </cols>
  <sheetData>
    <row r="1">
      <c r="A1" s="1" t="inlineStr">
        <is>
          <t xml:space="preserve">Trip Name</t>
        </is>
      </c>
      <c r="B1" s="1" t="inlineStr">
        <is>
          <t xml:space="preserve">Start Date</t>
        </is>
      </c>
      <c r="C1" s="1" t="inlineStr">
        <is>
          <t xml:space="preserve">End Date</t>
        </is>
      </c>
      <c r="D1" s="1" t="inlineStr">
        <is>
          <t xml:space="preserve">Gear Used</t>
        </is>
      </c>
      <c r="E1" s="1" t="inlineStr">
        <is>
          <t xml:space="preserve">Notes</t>
        </is>
      </c>
    </row>
    <row r="2">
      <c r="A2" t="inlineStr">
        <is>
          <t xml:space="preserve">Spring Europe Tour</t>
        </is>
      </c>
      <c r="B2" s="3">
        <v>46113</v>
      </c>
      <c r="C2" s="3">
        <v>46133</v>
      </c>
      <c r="D2" t="inlineStr">
        <is>
          <t xml:space="preserve">Travel Backpack, Mirrorless Camera</t>
        </is>
      </c>
      <c r="E2" t="inlineStr">
        <is>
          <t xml:space="preserve">Light rain, minor wear</t>
        </is>
      </c>
    </row>
    <row r="3">
      <c r="A3" t="inlineStr">
        <is>
          <t xml:space="preserve">Summer Asia Trek</t>
        </is>
      </c>
      <c r="B3" s="3">
        <v>46213</v>
      </c>
      <c r="C3" s="3">
        <v>46233</v>
      </c>
      <c r="D3" t="inlineStr">
        <is>
          <t xml:space="preserve">Travel Backpack, Laptop</t>
        </is>
      </c>
      <c r="E3" t="inlineStr">
        <is>
          <t xml:space="preserve">Battery drained</t>
        </is>
      </c>
    </row>
    <row r="4">
      <c r="A4" t="inlineStr">
        <is>
          <t xml:space="preserve">Winter Canada Ski</t>
        </is>
      </c>
      <c r="B4" s="3">
        <v>45996</v>
      </c>
      <c r="C4" s="3">
        <v>46006</v>
      </c>
      <c r="D4" t="inlineStr">
        <is>
          <t xml:space="preserve">Travel Backpack</t>
        </is>
      </c>
      <c r="E4" t="inlineStr">
        <is>
          <t xml:space="preserve">Snow damage to straps</t>
        </is>
      </c>
    </row>
    <row r="6">
      <c r="A6" s="6" t="inlineStr">
        <is>
          <t xml:space="preserve">TOTAL</t>
        </is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7" customWidth="1"/>
    <col min="3" max="3" width="12" customWidth="1"/>
    <col min="4" max="4" width="14" customWidth="1"/>
  </cols>
  <sheetData>
    <row r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Balance</t>
        </is>
      </c>
    </row>
    <row r="2">
      <c r="A2" s="3">
        <v>45026</v>
      </c>
      <c r="B2" t="inlineStr">
        <is>
          <t xml:space="preserve">Travel Backpack purchase</t>
        </is>
      </c>
      <c r="C2" s="2">
        <v>120.0</v>
      </c>
      <c r="D2" s="2">
        <f>0-N(C2)</f>
      </c>
    </row>
    <row r="3">
      <c r="A3" s="3">
        <v>44576</v>
      </c>
      <c r="B3" t="inlineStr">
        <is>
          <t xml:space="preserve">Mirrorless Camera purchase</t>
        </is>
      </c>
      <c r="C3" s="2">
        <v>800.0</v>
      </c>
      <c r="D3" s="2">
        <f>N(D2)+0-N(C3)</f>
      </c>
    </row>
    <row r="4">
      <c r="A4" s="3">
        <v>44348</v>
      </c>
      <c r="B4" t="inlineStr">
        <is>
          <t xml:space="preserve">Laptop purchase</t>
        </is>
      </c>
      <c r="C4" s="2">
        <v>1500.0</v>
      </c>
      <c r="D4" s="2">
        <f>N(D3)+0-N(C4)</f>
      </c>
    </row>
    <row r="6">
      <c r="A6" s="6" t="inlineStr">
        <is>
          <t xml:space="preserve">TOTAL</t>
        </is>
      </c>
      <c r="C6" s="7">
        <f>SUM(C2:C4)</f>
      </c>
    </row>
  </sheetData>
  <pageMargins left="0.5" right="0.5" top="0.75" bottom="0.75" header="0.3" footer="0.3"/>
</worksheet>
</file>