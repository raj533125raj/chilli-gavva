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Profit" sheetId="3" r:id="rId3"/>
    <sheet name="Fees" sheetId="4" r:id="rId4"/>
    <sheet name="Payments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Etsy Profit Calculator – Google Sheet for Handmade Sellers (Fees, Shipping, Net Profit)</t>
        </is>
      </c>
    </row>
    <row r="2"/>
    <row r="3">
      <c r="A3" s="4" t="inlineStr">
        <is>
          <t xml:space="preserve">1. Open the Google Sheet and go to the Settings tab; select your shop type (Etsy, Amazon Handmade, etc.) and set your default currency and shipping rate.</t>
        </is>
      </c>
    </row>
    <row r="4">
      <c r="A4" s="4" t="inlineStr">
        <is>
          <t xml:space="preserve">2. The Fees tab will auto‑populate the correct listing, transaction, and payment fee rates based on the shop type you chose.</t>
        </is>
      </c>
    </row>
    <row r="5">
      <c r="A5" s="4" t="inlineStr">
        <is>
          <t xml:space="preserve">3. Enter each product in the Profit tab: SKU, Units Sold, Unit Price, and Shipping Cost. The sheet will calculate all fees and show Net Profit per line item.</t>
        </is>
      </c>
    </row>
    <row r="6">
      <c r="A6" s="4" t="inlineStr">
        <is>
          <t xml:space="preserve">4. Use the Payments tab to log invoices, mark them Paid or Unpaid, and see which ones are overdue.</t>
        </is>
      </c>
    </row>
    <row r="7">
      <c r="A7" s="4" t="inlineStr">
        <is>
          <t xml:space="preserve">5. Check the Dashboard tab for a summarized view of total profit, average margin, and progress toward any profit goal you set.</t>
        </is>
      </c>
    </row>
    <row r="8"/>
    <row r="9">
      <c r="A9" s="4" t="inlineStr">
        <is>
          <t xml:space="preserve">Works in Microsoft Excel, Google Sheets (File &gt; Import) and Apple Numbers.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Profit: Units Sold</t>
        </is>
      </c>
      <c r="B2">
        <f>'Profit'!B7</f>
      </c>
    </row>
    <row r="3">
      <c r="A3" t="inlineStr">
        <is>
          <t xml:space="preserve">Profit: Unit Price</t>
        </is>
      </c>
      <c r="B3" s="2">
        <f>'Profit'!C7</f>
      </c>
    </row>
    <row r="4">
      <c r="A4" t="inlineStr">
        <is>
          <t xml:space="preserve">Profit: Listing Fee</t>
        </is>
      </c>
      <c r="B4" s="2">
        <f>'Profit'!D7</f>
      </c>
    </row>
    <row r="5">
      <c r="A5" t="inlineStr">
        <is>
          <t xml:space="preserve">Profit: Transaction Fee</t>
        </is>
      </c>
      <c r="B5" s="2">
        <f>'Profit'!E7</f>
      </c>
    </row>
    <row r="6">
      <c r="A6" t="inlineStr">
        <is>
          <t xml:space="preserve">Profit: Payment Fee</t>
        </is>
      </c>
      <c r="B6" s="2">
        <f>'Profit'!F7</f>
      </c>
    </row>
    <row r="7">
      <c r="A7" t="inlineStr">
        <is>
          <t xml:space="preserve">Profit: Shipping Cost</t>
        </is>
      </c>
      <c r="B7" s="2">
        <f>'Profit'!G7</f>
      </c>
    </row>
    <row r="8">
      <c r="A8" t="inlineStr">
        <is>
          <t xml:space="preserve">Profit: Total Cost</t>
        </is>
      </c>
      <c r="B8" s="2">
        <f>'Profit'!H7</f>
      </c>
    </row>
    <row r="9">
      <c r="A9" t="inlineStr">
        <is>
          <t xml:space="preserve">Profit: Net Profit</t>
        </is>
      </c>
      <c r="B9" s="2">
        <f>'Profit'!I7</f>
      </c>
    </row>
    <row r="10">
      <c r="A10" t="inlineStr">
        <is>
          <t xml:space="preserve">Fees: Listing Fee</t>
        </is>
      </c>
      <c r="B10" s="2">
        <f>'Fees'!B6</f>
      </c>
    </row>
    <row r="11">
      <c r="A11" t="inlineStr">
        <is>
          <t xml:space="preserve">Fees: Transaction Fee</t>
        </is>
      </c>
      <c r="B11">
        <f>'Fees'!C6</f>
      </c>
    </row>
    <row r="12">
      <c r="A12" t="inlineStr">
        <is>
          <t xml:space="preserve">Fees: Payment Fee</t>
        </is>
      </c>
      <c r="B12">
        <f>'Fees'!D6</f>
      </c>
    </row>
    <row r="13">
      <c r="A13" t="inlineStr">
        <is>
          <t xml:space="preserve">Payments: Amount</t>
        </is>
      </c>
      <c r="B13" s="2">
        <f>'Payments'!C7</f>
      </c>
    </row>
    <row r="14">
      <c r="A14" t="inlineStr">
        <is>
          <t xml:space="preserve">Payments: Overdue rows</t>
        </is>
      </c>
      <c r="B14">
        <f>'Payments'!B8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6" customWidth="1"/>
    <col min="3" max="3" width="16" customWidth="1"/>
    <col min="4" max="4" width="17" customWidth="1"/>
    <col min="5" max="5" width="21" customWidth="1"/>
    <col min="6" max="6" width="17" customWidth="1"/>
    <col min="7" max="7" width="19" customWidth="1"/>
    <col min="8" max="8" width="16" customWidth="1"/>
    <col min="9" max="9" width="16" customWidth="1"/>
    <col min="10" max="10" width="14" customWidth="1"/>
  </cols>
  <sheetData>
    <row r="1">
      <c r="A1" s="1" t="inlineStr">
        <is>
          <t xml:space="preserve">Item</t>
        </is>
      </c>
      <c r="B1" s="1" t="inlineStr">
        <is>
          <t xml:space="preserve">Units Sold</t>
        </is>
      </c>
      <c r="C1" s="1" t="inlineStr">
        <is>
          <t xml:space="preserve">Unit Price</t>
        </is>
      </c>
      <c r="D1" s="1" t="inlineStr">
        <is>
          <t xml:space="preserve">Listing Fee</t>
        </is>
      </c>
      <c r="E1" s="1" t="inlineStr">
        <is>
          <t xml:space="preserve">Transaction Fee</t>
        </is>
      </c>
      <c r="F1" s="1" t="inlineStr">
        <is>
          <t xml:space="preserve">Payment Fee</t>
        </is>
      </c>
      <c r="G1" s="1" t="inlineStr">
        <is>
          <t xml:space="preserve">Shipping Cost</t>
        </is>
      </c>
      <c r="H1" s="1" t="inlineStr">
        <is>
          <t xml:space="preserve">Total Cost</t>
        </is>
      </c>
      <c r="I1" s="1" t="inlineStr">
        <is>
          <t xml:space="preserve">Net Profit</t>
        </is>
      </c>
      <c r="J1" s="1" t="inlineStr">
        <is>
          <t xml:space="preserve">Balance</t>
        </is>
      </c>
    </row>
    <row r="2">
      <c r="A2" t="inlineStr">
        <is>
          <t xml:space="preserve">Handmade Necklace</t>
        </is>
      </c>
      <c r="B2">
        <v>30.0</v>
      </c>
      <c r="C2" s="2">
        <v>25.0</v>
      </c>
      <c r="D2" s="2">
        <v>0.2</v>
      </c>
      <c r="E2" s="2">
        <v>1.25</v>
      </c>
      <c r="F2" s="2">
        <v>0.75</v>
      </c>
      <c r="G2" s="2">
        <v>3.0</v>
      </c>
      <c r="H2" s="2">
        <v>5.2</v>
      </c>
      <c r="I2" s="2">
        <v>19.8</v>
      </c>
      <c r="J2" s="2">
        <f>N(I2)-0</f>
      </c>
    </row>
    <row r="3">
      <c r="A3" t="inlineStr">
        <is>
          <t xml:space="preserve">Soy Candle</t>
        </is>
      </c>
      <c r="B3">
        <v>50.0</v>
      </c>
      <c r="C3" s="2">
        <v>12.0</v>
      </c>
      <c r="D3" s="2">
        <v>0.2</v>
      </c>
      <c r="E3" s="2">
        <v>0.6</v>
      </c>
      <c r="F3" s="2">
        <v>0.36</v>
      </c>
      <c r="G3" s="2">
        <v>2.0</v>
      </c>
      <c r="H3" s="2">
        <v>3.16</v>
      </c>
      <c r="I3" s="2">
        <v>8.84</v>
      </c>
      <c r="J3" s="2">
        <f>N(J2)+N(I3)-0</f>
      </c>
    </row>
    <row r="4">
      <c r="A4" t="inlineStr">
        <is>
          <t xml:space="preserve">Knitted Scarf</t>
        </is>
      </c>
      <c r="B4">
        <v>20.0</v>
      </c>
      <c r="C4" s="2">
        <v>35.0</v>
      </c>
      <c r="D4" s="2">
        <v>0.2</v>
      </c>
      <c r="E4" s="2">
        <v>1.75</v>
      </c>
      <c r="F4" s="2">
        <v>1.05</v>
      </c>
      <c r="G4" s="2">
        <v>4.0</v>
      </c>
      <c r="H4" s="2">
        <v>7.0</v>
      </c>
      <c r="I4" s="2">
        <v>28.0</v>
      </c>
      <c r="J4" s="2">
        <f>N(J3)+N(I4)-0</f>
      </c>
    </row>
    <row r="5">
      <c r="A5" t="inlineStr">
        <is>
          <t xml:space="preserve">Ceramic Mug</t>
        </is>
      </c>
      <c r="B5">
        <v>40.0</v>
      </c>
      <c r="C5" s="2">
        <v>18.0</v>
      </c>
      <c r="D5" s="2">
        <v>0.2</v>
      </c>
      <c r="E5" s="2">
        <v>0.9</v>
      </c>
      <c r="F5" s="2">
        <v>0.54</v>
      </c>
      <c r="G5" s="2">
        <v>2.5</v>
      </c>
      <c r="H5" s="2">
        <v>4.14</v>
      </c>
      <c r="I5" s="2">
        <v>13.86</v>
      </c>
      <c r="J5" s="2">
        <f>N(J4)+N(I5)-0</f>
      </c>
    </row>
    <row r="7">
      <c r="A7" s="6" t="inlineStr">
        <is>
          <t xml:space="preserve">TOTAL</t>
        </is>
      </c>
      <c r="B7" s="8">
        <f>SUM(B2:B5)</f>
      </c>
      <c r="C7" s="7">
        <f>SUM(C2:C5)</f>
      </c>
      <c r="D7" s="7">
        <f>SUM(D2:D5)</f>
      </c>
      <c r="E7" s="7">
        <f>SUM(E2:E5)</f>
      </c>
      <c r="F7" s="7">
        <f>SUM(F2:F5)</f>
      </c>
      <c r="G7" s="7">
        <f>SUM(G2:G5)</f>
      </c>
      <c r="H7" s="7">
        <f>SUM(H2:H5)</f>
      </c>
      <c r="I7" s="7">
        <f>SUM(I2:I5)</f>
      </c>
    </row>
  </sheetData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7" customWidth="1"/>
    <col min="3" max="3" width="21" customWidth="1"/>
    <col min="4" max="4" width="17" customWidth="1"/>
  </cols>
  <sheetData>
    <row r="1">
      <c r="A1" s="1" t="inlineStr">
        <is>
          <t xml:space="preserve">Shop Type</t>
        </is>
      </c>
      <c r="B1" s="1" t="inlineStr">
        <is>
          <t xml:space="preserve">Listing Fee</t>
        </is>
      </c>
      <c r="C1" s="1" t="inlineStr">
        <is>
          <t xml:space="preserve">Transaction Fee</t>
        </is>
      </c>
      <c r="D1" s="1" t="inlineStr">
        <is>
          <t xml:space="preserve">Payment Fee</t>
        </is>
      </c>
    </row>
    <row r="2">
      <c r="A2" t="inlineStr">
        <is>
          <t xml:space="preserve">Etsy</t>
        </is>
      </c>
      <c r="B2" s="2">
        <v>0.2</v>
      </c>
      <c r="C2">
        <v>5.0</v>
      </c>
      <c r="D2">
        <v>3.0</v>
      </c>
    </row>
    <row r="3">
      <c r="A3" t="inlineStr">
        <is>
          <t xml:space="preserve">Amazon Handmade</t>
        </is>
      </c>
      <c r="B3" s="2">
        <v>0.3</v>
      </c>
      <c r="C3">
        <v>6.0</v>
      </c>
      <c r="D3">
        <v>3.0</v>
      </c>
    </row>
    <row r="4">
      <c r="A4" t="inlineStr">
        <is>
          <t xml:space="preserve">Shopify</t>
        </is>
      </c>
      <c r="B4" s="2">
        <v>0.0</v>
      </c>
      <c r="C4">
        <v>2.9</v>
      </c>
      <c r="D4">
        <v>2.5</v>
      </c>
    </row>
    <row r="6">
      <c r="A6" s="6" t="inlineStr">
        <is>
          <t xml:space="preserve">TOTAL</t>
        </is>
      </c>
      <c r="B6" s="7">
        <f>SUM(B2:B4)</f>
      </c>
      <c r="C6" s="8">
        <f>SUM(C2:C4)</f>
      </c>
      <c r="D6" s="8">
        <f>SUM(D2:D4)</f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3" customWidth="1"/>
    <col min="3" max="3" width="12" customWidth="1"/>
    <col min="4" max="4" width="12" customWidth="1"/>
    <col min="5" max="5" width="14" customWidth="1"/>
    <col min="6" max="6" width="14" customWidth="1"/>
    <col min="7" max="7" width="14" customWidth="1"/>
  </cols>
  <sheetData>
    <row r="1">
      <c r="A1" s="1" t="inlineStr">
        <is>
          <t xml:space="preserve">Date</t>
        </is>
      </c>
      <c r="B1" s="1" t="inlineStr">
        <is>
          <t xml:space="preserve">Invoice</t>
        </is>
      </c>
      <c r="C1" s="1" t="inlineStr">
        <is>
          <t xml:space="preserve">Amount</t>
        </is>
      </c>
      <c r="D1" s="1" t="inlineStr">
        <is>
          <t xml:space="preserve">Status</t>
        </is>
      </c>
      <c r="E1" s="1" t="inlineStr">
        <is>
          <t xml:space="preserve">Due Date</t>
        </is>
      </c>
      <c r="F1" s="1" t="inlineStr">
        <is>
          <t xml:space="preserve">Balance</t>
        </is>
      </c>
      <c r="G1" s="1" t="inlineStr">
        <is>
          <t xml:space="preserve">Overdue?</t>
        </is>
      </c>
    </row>
    <row r="2">
      <c r="A2" s="3">
        <v>46266</v>
      </c>
      <c r="B2" t="inlineStr">
        <is>
          <t xml:space="preserve">INV-1001</t>
        </is>
      </c>
      <c r="C2" s="2">
        <v>120.0</v>
      </c>
      <c r="D2" t="inlineStr">
        <is>
          <t xml:space="preserve">Paid</t>
        </is>
      </c>
      <c r="E2" s="3">
        <v>46275</v>
      </c>
      <c r="F2" s="2">
        <f>N(C2)-0</f>
      </c>
      <c r="G2">
        <f>IF(AND(ISNUMBER(E2),D2&lt;&gt;"Paid",E2&lt;TODAY()),"OVERDUE","")</f>
      </c>
    </row>
    <row r="3">
      <c r="A3" s="3">
        <v>46270</v>
      </c>
      <c r="B3" t="inlineStr">
        <is>
          <t xml:space="preserve">INV-1002</t>
        </is>
      </c>
      <c r="C3" s="2">
        <v>85.0</v>
      </c>
      <c r="D3" t="inlineStr">
        <is>
          <t xml:space="preserve">Unpaid</t>
        </is>
      </c>
      <c r="E3" s="3">
        <v>46280</v>
      </c>
      <c r="F3" s="2">
        <f>N(F2)+N(C3)-0</f>
      </c>
      <c r="G3">
        <f>IF(AND(ISNUMBER(E3),D3&lt;&gt;"Paid",E3&lt;TODAY()),"OVERDUE","")</f>
      </c>
    </row>
    <row r="4">
      <c r="A4" s="3">
        <v>46277</v>
      </c>
      <c r="B4" t="inlineStr">
        <is>
          <t xml:space="preserve">INV-1003</t>
        </is>
      </c>
      <c r="C4" s="2">
        <v>200.0</v>
      </c>
      <c r="D4" t="inlineStr">
        <is>
          <t xml:space="preserve">Unpaid</t>
        </is>
      </c>
      <c r="E4" s="3">
        <v>46287</v>
      </c>
      <c r="F4" s="2">
        <f>N(F3)+N(C4)-0</f>
      </c>
      <c r="G4">
        <f>IF(AND(ISNUMBER(E4),D4&lt;&gt;"Paid",E4&lt;TODAY()),"OVERDUE","")</f>
      </c>
    </row>
    <row r="5">
      <c r="A5" s="3">
        <v>46285</v>
      </c>
      <c r="B5" t="inlineStr">
        <is>
          <t xml:space="preserve">INV-1004</t>
        </is>
      </c>
      <c r="C5" s="2">
        <v>150.0</v>
      </c>
      <c r="D5" t="inlineStr">
        <is>
          <t xml:space="preserve">Paid</t>
        </is>
      </c>
      <c r="E5" s="3">
        <v>46295</v>
      </c>
      <c r="F5" s="2">
        <f>N(F4)+N(C5)-0</f>
      </c>
      <c r="G5">
        <f>IF(AND(ISNUMBER(E5),D5&lt;&gt;"Paid",E5&lt;TODAY()),"OVERDUE","")</f>
      </c>
    </row>
    <row r="7">
      <c r="A7" s="6" t="inlineStr">
        <is>
          <t xml:space="preserve">TOTAL</t>
        </is>
      </c>
      <c r="C7" s="7">
        <f>SUM(C2:C5)</f>
      </c>
    </row>
    <row r="8">
      <c r="A8" s="6" t="inlineStr">
        <is>
          <t xml:space="preserve">Overdue rows</t>
        </is>
      </c>
      <c r="B8" s="6">
        <f>COUNTIF(G2:G5,"OVERDUE")</f>
      </c>
    </row>
  </sheetData>
  <dataValidations count="1">
    <dataValidation type="list" allowBlank="1" showErrorMessage="1" sqref="D2:D205">
      <formula1>"Paid,Unpaid"</formula1>
    </dataValidation>
  </dataValidations>
  <pageMargins left="0.5" right="0.5" top="0.75" bottom="0.75" header="0.3" footer="0.3"/>
</worksheet>
</file>