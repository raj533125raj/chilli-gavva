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Income" sheetId="3" r:id="rId3"/>
    <sheet name="Expenses" sheetId="4" r:id="rId4"/>
    <sheet name="Savings Tracker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Google Sheets Budget for Freelancers – Income &amp; Expense Tracker</t>
        </is>
      </c>
    </row>
    <row r="2"/>
    <row r="3">
      <c r="A3" s="4" t="inlineStr">
        <is>
          <t xml:space="preserve">1. Open the file in Google Sheets and choose **File → Make a copy** – this creates your own editable version while preserving the original as a reference.</t>
        </is>
      </c>
    </row>
    <row r="4">
      <c r="A4" s="4" t="inlineStr">
        <is>
          <t xml:space="preserve">2. In the **Overview** tab set the month (e.g., 2026‑03) and type your desired savings goal.</t>
        </is>
      </c>
    </row>
    <row r="5">
      <c r="A5" s="4" t="inlineStr">
        <is>
          <t xml:space="preserve">3. Enter every payment in the **Income** tab and every cost in the **Expenses** tab, using the drop‑down lists for Source and Category.</t>
        </is>
      </c>
    </row>
    <row r="6">
      <c r="A6" s="4" t="inlineStr">
        <is>
          <t xml:space="preserve">4. Return to **Overview** to see real‑time totals, net cash flow, and the two charts updating automatically.</t>
        </is>
      </c>
    </row>
    <row r="7">
      <c r="A7" s="4" t="inlineStr">
        <is>
          <t xml:space="preserve">5. Use the **Summary** tab to export a PDF report or copy the charts for personal reviews or to share with an accountant.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Income: Amount</t>
        </is>
      </c>
      <c r="B2" s="2">
        <f>'Income'!D7</f>
      </c>
    </row>
    <row r="3">
      <c r="A3" t="inlineStr">
        <is>
          <t xml:space="preserve">Income: Overdue rows</t>
        </is>
      </c>
      <c r="B3">
        <f>'Income'!B8</f>
      </c>
    </row>
    <row r="4">
      <c r="A4" t="inlineStr">
        <is>
          <t xml:space="preserve">Expenses: Amount</t>
        </is>
      </c>
      <c r="B4" s="2">
        <f>'Expenses'!D7</f>
      </c>
    </row>
    <row r="5">
      <c r="A5" t="inlineStr">
        <is>
          <t xml:space="preserve">Expenses: Overdue rows</t>
        </is>
      </c>
      <c r="B5">
        <f>'Expenses'!B8</f>
      </c>
    </row>
    <row r="6">
      <c r="A6" t="inlineStr">
        <is>
          <t xml:space="preserve">Savings Tracker: Target Amount</t>
        </is>
      </c>
      <c r="B6" s="2">
        <f>'Savings Tracker'!C6</f>
      </c>
    </row>
    <row r="7">
      <c r="A7" t="inlineStr">
        <is>
          <t xml:space="preserve">Savings Tracker: Current Balance</t>
        </is>
      </c>
      <c r="B7" s="2">
        <f>'Savings Tracker'!D6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Date</t>
        </is>
      </c>
      <c r="B1" s="1" t="inlineStr">
        <is>
          <t xml:space="preserve">Client</t>
        </is>
      </c>
      <c r="C1" s="1" t="inlineStr">
        <is>
          <t xml:space="preserve">Source</t>
        </is>
      </c>
      <c r="D1" s="1" t="inlineStr">
        <is>
          <t xml:space="preserve">Amount</t>
        </is>
      </c>
      <c r="E1" s="1" t="inlineStr">
        <is>
          <t xml:space="preserve">Status</t>
        </is>
      </c>
      <c r="F1" s="1" t="inlineStr">
        <is>
          <t xml:space="preserve">Due Date</t>
        </is>
      </c>
      <c r="G1" s="1" t="inlineStr">
        <is>
          <t xml:space="preserve">Balance</t>
        </is>
      </c>
      <c r="H1" s="1" t="inlineStr">
        <is>
          <t xml:space="preserve">Overdue?</t>
        </is>
      </c>
    </row>
    <row r="2">
      <c r="A2" s="3">
        <v>46082</v>
      </c>
      <c r="B2" t="inlineStr">
        <is>
          <t xml:space="preserve">Acme Corp</t>
        </is>
      </c>
      <c r="C2" t="inlineStr">
        <is>
          <t xml:space="preserve">Direct Client</t>
        </is>
      </c>
      <c r="D2" s="2">
        <v>1200.0</v>
      </c>
      <c r="E2" t="inlineStr">
        <is>
          <t xml:space="preserve">Paid</t>
        </is>
      </c>
      <c r="G2" s="2">
        <f>N(D2)-0</f>
      </c>
      <c r="H2">
        <f>IF(AND(ISNUMBER(F2),E2&lt;&gt;"Paid",F2&lt;TODAY()),"OVERDUE","")</f>
      </c>
    </row>
    <row r="3">
      <c r="A3" s="3">
        <v>46089</v>
      </c>
      <c r="B3" t="inlineStr">
        <is>
          <t xml:space="preserve">Upwork</t>
        </is>
      </c>
      <c r="C3" t="inlineStr">
        <is>
          <t xml:space="preserve">Platform</t>
        </is>
      </c>
      <c r="D3" s="2">
        <v>500.0</v>
      </c>
      <c r="E3" t="inlineStr">
        <is>
          <t xml:space="preserve">Unpaid</t>
        </is>
      </c>
      <c r="F3" s="3">
        <v>46101</v>
      </c>
      <c r="G3" s="2">
        <f>N(G2)+N(D3)-0</f>
      </c>
      <c r="H3">
        <f>IF(AND(ISNUMBER(F3),E3&lt;&gt;"Paid",F3&lt;TODAY()),"OVERDUE","")</f>
      </c>
    </row>
    <row r="4">
      <c r="A4" s="3">
        <v>46096</v>
      </c>
      <c r="B4" t="inlineStr">
        <is>
          <t xml:space="preserve">Fiverr</t>
        </is>
      </c>
      <c r="C4" t="inlineStr">
        <is>
          <t xml:space="preserve">Platform</t>
        </is>
      </c>
      <c r="D4" s="2">
        <v>300.0</v>
      </c>
      <c r="E4" t="inlineStr">
        <is>
          <t xml:space="preserve">Paid</t>
        </is>
      </c>
      <c r="G4" s="2">
        <f>N(G3)+N(D4)-0</f>
      </c>
      <c r="H4">
        <f>IF(AND(ISNUMBER(F4),E4&lt;&gt;"Paid",F4&lt;TODAY()),"OVERDUE","")</f>
      </c>
    </row>
    <row r="5">
      <c r="A5" s="3">
        <v>46103</v>
      </c>
      <c r="B5" t="inlineStr">
        <is>
          <t xml:space="preserve">DesignCo</t>
        </is>
      </c>
      <c r="C5" t="inlineStr">
        <is>
          <t xml:space="preserve">Direct Client</t>
        </is>
      </c>
      <c r="D5" s="2">
        <v>800.0</v>
      </c>
      <c r="E5" t="inlineStr">
        <is>
          <t xml:space="preserve">Unpaid</t>
        </is>
      </c>
      <c r="F5" s="3">
        <v>46113</v>
      </c>
      <c r="G5" s="2">
        <f>N(G4)+N(D5)-0</f>
      </c>
      <c r="H5">
        <f>IF(AND(ISNUMBER(F5),E5&lt;&gt;"Paid",F5&lt;TODAY()),"OVERDUE","")</f>
      </c>
    </row>
    <row r="7">
      <c r="A7" s="6" t="inlineStr">
        <is>
          <t xml:space="preserve">TOTAL</t>
        </is>
      </c>
      <c r="D7" s="7">
        <f>SUM(D2:D5)</f>
      </c>
    </row>
    <row r="8">
      <c r="A8" s="6" t="inlineStr">
        <is>
          <t xml:space="preserve">Overdue rows</t>
        </is>
      </c>
      <c r="B8" s="6">
        <f>COUNTIF(H2:H5,"OVERDUE")</f>
      </c>
    </row>
  </sheetData>
  <dataValidations count="2">
    <dataValidation type="list" allowBlank="1" showErrorMessage="1" sqref="C2:C205">
      <formula1>"Direct Client,Platform,Referral"</formula1>
    </dataValidation>
    <dataValidation type="list" allowBlank="1" showErrorMessage="1" sqref="E2:E205">
      <formula1>"Paid,Unpaid"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4" customWidth="1"/>
    <col min="4" max="4" width="12" customWidth="1"/>
    <col min="5" max="5" width="12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Date</t>
        </is>
      </c>
      <c r="B1" s="1" t="inlineStr">
        <is>
          <t xml:space="preserve">Vendor</t>
        </is>
      </c>
      <c r="C1" s="1" t="inlineStr">
        <is>
          <t xml:space="preserve">Category</t>
        </is>
      </c>
      <c r="D1" s="1" t="inlineStr">
        <is>
          <t xml:space="preserve">Amount</t>
        </is>
      </c>
      <c r="E1" s="1" t="inlineStr">
        <is>
          <t xml:space="preserve">Status</t>
        </is>
      </c>
      <c r="F1" s="1" t="inlineStr">
        <is>
          <t xml:space="preserve">Due Date</t>
        </is>
      </c>
      <c r="G1" s="1" t="inlineStr">
        <is>
          <t xml:space="preserve">Balance</t>
        </is>
      </c>
      <c r="H1" s="1" t="inlineStr">
        <is>
          <t xml:space="preserve">Overdue?</t>
        </is>
      </c>
    </row>
    <row r="2">
      <c r="A2" s="3">
        <v>46086</v>
      </c>
      <c r="B2" t="inlineStr">
        <is>
          <t xml:space="preserve">Google Cloud</t>
        </is>
      </c>
      <c r="C2" t="inlineStr">
        <is>
          <t xml:space="preserve">Software</t>
        </is>
      </c>
      <c r="D2" s="2">
        <v>150.0</v>
      </c>
      <c r="E2" t="inlineStr">
        <is>
          <t xml:space="preserve">Paid</t>
        </is>
      </c>
      <c r="G2" s="2">
        <f>0-N(D2)</f>
      </c>
      <c r="H2">
        <f>IF(AND(ISNUMBER(F2),E2&lt;&gt;"Paid",F2&lt;TODAY()),"OVERDUE","")</f>
      </c>
    </row>
    <row r="3">
      <c r="A3" s="3">
        <v>46091</v>
      </c>
      <c r="B3" t="inlineStr">
        <is>
          <t xml:space="preserve">IRS</t>
        </is>
      </c>
      <c r="C3" t="inlineStr">
        <is>
          <t xml:space="preserve">Taxes</t>
        </is>
      </c>
      <c r="D3" s="2">
        <v>300.0</v>
      </c>
      <c r="E3" t="inlineStr">
        <is>
          <t xml:space="preserve">Unpaid</t>
        </is>
      </c>
      <c r="F3" s="3">
        <v>46127</v>
      </c>
      <c r="G3" s="2">
        <f>N(G2)+0-N(D3)</f>
      </c>
      <c r="H3">
        <f>IF(AND(ISNUMBER(F3),E3&lt;&gt;"Paid",F3&lt;TODAY()),"OVERDUE","")</f>
      </c>
    </row>
    <row r="4">
      <c r="A4" s="3">
        <v>46093</v>
      </c>
      <c r="B4" t="inlineStr">
        <is>
          <t xml:space="preserve">Coffee Shop</t>
        </is>
      </c>
      <c r="C4" t="inlineStr">
        <is>
          <t xml:space="preserve">Travel</t>
        </is>
      </c>
      <c r="D4" s="2">
        <v>25.0</v>
      </c>
      <c r="E4" t="inlineStr">
        <is>
          <t xml:space="preserve">Paid</t>
        </is>
      </c>
      <c r="G4" s="2">
        <f>N(G3)+0-N(D4)</f>
      </c>
      <c r="H4">
        <f>IF(AND(ISNUMBER(F4),E4&lt;&gt;"Paid",F4&lt;TODAY()),"OVERDUE","")</f>
      </c>
    </row>
    <row r="5">
      <c r="A5" s="3">
        <v>46099</v>
      </c>
      <c r="B5" t="inlineStr">
        <is>
          <t xml:space="preserve">Stationery Co</t>
        </is>
      </c>
      <c r="C5" t="inlineStr">
        <is>
          <t xml:space="preserve">Supplies</t>
        </is>
      </c>
      <c r="D5" s="2">
        <v>45.0</v>
      </c>
      <c r="E5" t="inlineStr">
        <is>
          <t xml:space="preserve">Unpaid</t>
        </is>
      </c>
      <c r="F5" s="3">
        <v>46111</v>
      </c>
      <c r="G5" s="2">
        <f>N(G4)+0-N(D5)</f>
      </c>
      <c r="H5">
        <f>IF(AND(ISNUMBER(F5),E5&lt;&gt;"Paid",F5&lt;TODAY()),"OVERDUE","")</f>
      </c>
    </row>
    <row r="7">
      <c r="A7" s="6" t="inlineStr">
        <is>
          <t xml:space="preserve">TOTAL</t>
        </is>
      </c>
      <c r="D7" s="7">
        <f>SUM(D2:D5)</f>
      </c>
    </row>
    <row r="8">
      <c r="A8" s="6" t="inlineStr">
        <is>
          <t xml:space="preserve">Overdue rows</t>
        </is>
      </c>
      <c r="B8" s="6">
        <f>COUNTIF(H2:H5,"OVERDUE")</f>
      </c>
    </row>
  </sheetData>
  <dataValidations count="2">
    <dataValidation type="list" allowBlank="1" showErrorMessage="1" sqref="C2:C205">
      <formula1>"Software,Taxes,Utilities,Travel,Supplies,Other"</formula1>
    </dataValidation>
    <dataValidation type="list" allowBlank="1" showErrorMessage="1" sqref="E2:E205">
      <formula1>"Paid,Unpaid"</formula1>
    </dataValidation>
  </dataValidations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9" customWidth="1"/>
    <col min="4" max="4" width="21" customWidth="1"/>
  </cols>
  <sheetData>
    <row r="1">
      <c r="A1" s="1" t="inlineStr">
        <is>
          <t xml:space="preserve">Date</t>
        </is>
      </c>
      <c r="B1" s="1" t="inlineStr">
        <is>
          <t xml:space="preserve">Goal</t>
        </is>
      </c>
      <c r="C1" s="1" t="inlineStr">
        <is>
          <t xml:space="preserve">Target Amount</t>
        </is>
      </c>
      <c r="D1" s="1" t="inlineStr">
        <is>
          <t xml:space="preserve">Current Balance</t>
        </is>
      </c>
    </row>
    <row r="2">
      <c r="A2" s="3">
        <v>46082</v>
      </c>
      <c r="B2" t="inlineStr">
        <is>
          <t xml:space="preserve">Emergency Fund</t>
        </is>
      </c>
      <c r="C2" s="2">
        <v>5000.0</v>
      </c>
      <c r="D2" s="2">
        <v>1200.0</v>
      </c>
    </row>
    <row r="3">
      <c r="A3" s="3">
        <v>46082</v>
      </c>
      <c r="B3" t="inlineStr">
        <is>
          <t xml:space="preserve">Equipment Upgrade</t>
        </is>
      </c>
      <c r="C3" s="2">
        <v>2000.0</v>
      </c>
      <c r="D3" s="2">
        <v>800.0</v>
      </c>
    </row>
    <row r="4">
      <c r="A4" s="3">
        <v>46082</v>
      </c>
      <c r="B4" t="inlineStr">
        <is>
          <t xml:space="preserve">Tax Reserve</t>
        </is>
      </c>
      <c r="C4" s="2">
        <v>3000.0</v>
      </c>
      <c r="D4" s="2">
        <v>1500.0</v>
      </c>
    </row>
    <row r="6">
      <c r="A6" s="6" t="inlineStr">
        <is>
          <t xml:space="preserve">TOTAL</t>
        </is>
      </c>
      <c r="C6" s="7">
        <f>SUM(C2:C4)</f>
      </c>
      <c r="D6" s="7">
        <f>SUM(D2:D4)</f>
      </c>
    </row>
  </sheetData>
  <pageMargins left="0.5" right="0.5" top="0.75" bottom="0.75" header="0.3" footer="0.3"/>
</worksheet>
</file>